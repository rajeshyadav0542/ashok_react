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gene123-my.sharepoint.com/personal/thallapally_kumar_indegene_com/Documents/Desktop/Genen Tech - Demo OCM Dashboard/"/>
    </mc:Choice>
  </mc:AlternateContent>
  <xr:revisionPtr revIDLastSave="71" documentId="8_{A0DEB7E4-FF7F-425A-ACE1-0CDD5B21FE21}" xr6:coauthVersionLast="47" xr6:coauthVersionMax="47" xr10:uidLastSave="{7E6B1209-1B48-4DA5-A29D-53ECACBAACF7}"/>
  <bookViews>
    <workbookView xWindow="-110" yWindow="-110" windowWidth="19420" windowHeight="10300" activeTab="3" xr2:uid="{CD79535E-E1C9-4078-BEF0-61F3D2511C2F}"/>
  </bookViews>
  <sheets>
    <sheet name="Input Flow" sheetId="2" r:id="rId1"/>
    <sheet name="UTC OutPut- Stratified sampling" sheetId="3" r:id="rId2"/>
    <sheet name="Strat Data_and_Meta" sheetId="4" r:id="rId3"/>
    <sheet name="Sheet1" sheetId="1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5" i="3" l="1"/>
  <c r="G15" i="3"/>
  <c r="F15" i="3"/>
  <c r="H15" i="3" s="1"/>
  <c r="I15" i="3" s="1"/>
  <c r="E10" i="3"/>
  <c r="B10" i="3"/>
  <c r="C10" i="3" s="1"/>
</calcChain>
</file>

<file path=xl/sharedStrings.xml><?xml version="1.0" encoding="utf-8"?>
<sst xmlns="http://schemas.openxmlformats.org/spreadsheetml/2006/main" count="358" uniqueCount="167">
  <si>
    <t>1. APPROACH (Dropdown – Required)</t>
  </si>
  <si>
    <t>Options:(Stratification, Traditional, Synthetic)</t>
  </si>
  <si>
    <t>Behavior:Once user selects approach → system should automatically:
Load and read MetaFile
Enable downstream dynamic inputs (segments, sales, activities)</t>
  </si>
  <si>
    <t>2a. Campaign Period Start Date (mm/dd/yyyy)
2b. Campaign Period End Date (mm/dd/yyyy)</t>
  </si>
  <si>
    <t>3a. Pre-Campaign Period Start Date (mm/dd/yyyy)
3b. Pre-Campaign Period End Date (mm/dd/yyyy)</t>
  </si>
  <si>
    <t>4a. Balancing Variables (Dynamic Multi-Select Dropdown)</t>
  </si>
  <si>
    <t>Auto-fetch from MetaFile → Segment Columns</t>
  </si>
  <si>
    <t>Display actual column names (NOT generic names)
User can select multiple variables</t>
  </si>
  <si>
    <t>Example (from MetaFile):
Segment_1 → behavioral_segment_desc_2025
Segment_2 → Priority
Segment_3 → AccountType
Segment_4 → Vax_Unvax
Segment_5 → Pre_claims_bucket</t>
  </si>
  <si>
    <t xml:space="preserve"> Final UI should show:
behavioral_segment_desc_2025 Priority AccountType Vax_Unvax Patient_50+ ,bucket Pre_claims_bucket</t>
  </si>
  <si>
    <t>5a. Sales Metrics (Dynamic Multi-Select Dropdown)
Source:Auto-fetch from MetaFile → Sales Columns</t>
  </si>
  <si>
    <t>UI Behavior:
Show actual mapped metric names
Allow multiple selection</t>
  </si>
  <si>
    <t>Example (from MetaFile):
Sales_1 → Total Claims
Sales_2 → Total RX
Sales_3 → Total Doses</t>
  </si>
  <si>
    <t xml:space="preserve"> Final UI should show:
Total Claims
Total RX
Total Doses</t>
  </si>
  <si>
    <t>6. Activity-Level Tolerances (Dynamic – MetaFile Driven)
Source:Auto-generate from MetaFile → Activity Mapping</t>
  </si>
  <si>
    <t>UI Generation Logic:
For each activity:
Activity_1 → Emails
Activity_2 → Calls
Activity_3 → Display
Activity_4 → Audio
…</t>
  </si>
  <si>
    <t xml:space="preserve"> Render Inputs (PRE Activities)
6a. Pre_Emails Tolerance (%) (Numeric input: 0.xx%) (Mapped from Activity_1 → Emails)
6b. Pre_Calls Tolerance (%) (Numeric input: 0.xx%) (Mapped from Activity_2 → Calls)
6c. Pre_Display Tolerance (%) (Numeric input: 0.xx%)(Mapped from Activity_3 → Display)
6d. Pre_Audio Tolerance (%) (Numeric input: 0.xx%) (Mapped from Activity_4 → Audio)</t>
  </si>
  <si>
    <t xml:space="preserve"> Render Inputs (Post Activities)
6a. Post_Emails Tolerance (%) (Numeric input: 0.xx%) (Mapped from Activity_1 → Emails)
6b. Post_Calls Tolerance (%) (Numeric input: 0.xx%) (Mapped from Activity_2 → Calls)
6c. Pre_Display Tolerance (%) (Numeric input: 0.xx%)(Mapped from Activity_3 → Display)
6d. Post_Audio Tolerance (%) (Numeric input: 0.xx%) (Mapped from Activity_4 → Audio)</t>
  </si>
  <si>
    <t>Always show actual activity name (Emails, Calls, etc.)
Do NOT display generic names like Activity_1, Activity_2
All activities must be auto-driven from MetaFile
Input format must be percentage (0.xx%)</t>
  </si>
  <si>
    <t>(3*SD ,2*SD ,1*SD)</t>
  </si>
  <si>
    <t>Out puts</t>
  </si>
  <si>
    <t>Input for visuals</t>
  </si>
  <si>
    <t>test_ctrl</t>
  </si>
  <si>
    <t>Total_Pre_Claims</t>
  </si>
  <si>
    <t>Total_Post_Claims</t>
  </si>
  <si>
    <t>Uniq_HCPs</t>
  </si>
  <si>
    <t>Avg_Pre_Claims</t>
  </si>
  <si>
    <t>Avg_Post_Claims</t>
  </si>
  <si>
    <t>Avg_Post_Pre_Diff</t>
  </si>
  <si>
    <t>CTRL</t>
  </si>
  <si>
    <t>TEST</t>
  </si>
  <si>
    <t>Double delta</t>
  </si>
  <si>
    <t>LIFT</t>
  </si>
  <si>
    <t>P-Value</t>
  </si>
  <si>
    <t>Significance</t>
  </si>
  <si>
    <t>Type:2</t>
  </si>
  <si>
    <t>TEST_Avg_Pre_Claims</t>
  </si>
  <si>
    <t>TEST_Avg_Post_Claims</t>
  </si>
  <si>
    <t>CTRL_Avg_Pre_Claims</t>
  </si>
  <si>
    <t>CTRL_Avg_Post_Claims</t>
  </si>
  <si>
    <t>TEST_DELTA (Avg_Post_Pre_Diff)</t>
  </si>
  <si>
    <t>CTRL_DELTA (Avg_Post_Pre_Diff)</t>
  </si>
  <si>
    <t>Visuals</t>
  </si>
  <si>
    <t>Pre period (Feb'25 - Jun'25)</t>
  </si>
  <si>
    <t>UTC period (Aug'25 - Dec'25)</t>
  </si>
  <si>
    <t>Test Group</t>
  </si>
  <si>
    <t>Control Group</t>
  </si>
  <si>
    <t>Input data for visuals</t>
  </si>
  <si>
    <t>Behavioral segment</t>
  </si>
  <si>
    <t>Claims Incremental Delta (Test - Control)</t>
  </si>
  <si>
    <t>Incremental Lift %</t>
  </si>
  <si>
    <t>Dormant</t>
  </si>
  <si>
    <t>Dabbler</t>
  </si>
  <si>
    <t>Driver</t>
  </si>
  <si>
    <t>Unknown</t>
  </si>
  <si>
    <t>HCP_ID</t>
  </si>
  <si>
    <t>Month_ID</t>
  </si>
  <si>
    <t>Test_Control_Flag</t>
  </si>
  <si>
    <t>Sales_1</t>
  </si>
  <si>
    <t>Activity_1</t>
  </si>
  <si>
    <t>Segment_1</t>
  </si>
  <si>
    <t>Segment_2</t>
  </si>
  <si>
    <t>Segment_3</t>
  </si>
  <si>
    <t>Segment_4</t>
  </si>
  <si>
    <t>Segment_5</t>
  </si>
  <si>
    <t>Segment_6</t>
  </si>
  <si>
    <t>Segment_7</t>
  </si>
  <si>
    <t>Segment_8</t>
  </si>
  <si>
    <t>Segment_9</t>
  </si>
  <si>
    <t>Segment_10</t>
  </si>
  <si>
    <t>Segment_11</t>
  </si>
  <si>
    <t>Segment_12</t>
  </si>
  <si>
    <t>Test</t>
  </si>
  <si>
    <t>Q3</t>
  </si>
  <si>
    <t>L</t>
  </si>
  <si>
    <t>SHINGRIX 2025 DRIVER JOURNEY SEGMENT</t>
  </si>
  <si>
    <t>SHINGRIX  2025 - SEGMENT D</t>
  </si>
  <si>
    <t>SYSTEM</t>
  </si>
  <si>
    <t>Z/Unkwown</t>
  </si>
  <si>
    <t>M</t>
  </si>
  <si>
    <t>H</t>
  </si>
  <si>
    <t>SHINGRIX 2025 DORMANT JOURNEY SEGMENT</t>
  </si>
  <si>
    <t>INDEPENDENT</t>
  </si>
  <si>
    <t>Q1</t>
  </si>
  <si>
    <t>SHINGRIX  2025 - SEGMENT C</t>
  </si>
  <si>
    <t>LM</t>
  </si>
  <si>
    <t>HM</t>
  </si>
  <si>
    <t>Q4</t>
  </si>
  <si>
    <t>SHINGRIX 2025 DABBLER JOURNEY SEGMENT</t>
  </si>
  <si>
    <t>Control</t>
  </si>
  <si>
    <t>Q2</t>
  </si>
  <si>
    <t>SHINGRIX  2025 - SEGMENT B</t>
  </si>
  <si>
    <t>SHINGRIX</t>
  </si>
  <si>
    <t>total_claims</t>
  </si>
  <si>
    <t>Activity_AUDIO_Total</t>
  </si>
  <si>
    <t>Activity_DISPLAY_VIDEO_Total_IMPS</t>
  </si>
  <si>
    <t>Activity_2</t>
  </si>
  <si>
    <t>Segment_Quarter_25</t>
  </si>
  <si>
    <t>Segment_Q3_25</t>
  </si>
  <si>
    <t>HMLZ_Fifty_Plus_pop</t>
  </si>
  <si>
    <t>HLZ_Fifty_Plus_pop</t>
  </si>
  <si>
    <t>behavioral_segment_desc_2025</t>
  </si>
  <si>
    <t>priority_segment_desc_2025</t>
  </si>
  <si>
    <t>high_level_account_type</t>
  </si>
  <si>
    <t>wohcp_segment</t>
  </si>
  <si>
    <t>Pre_total_claims_bucket</t>
  </si>
  <si>
    <t>Pre_patient_counts_50_plus_bucket</t>
  </si>
  <si>
    <t>Pre_vax_patients_bucket</t>
  </si>
  <si>
    <t>Pre_unvax_patients_bucket</t>
  </si>
  <si>
    <t>Actual_column_name</t>
  </si>
  <si>
    <t>Meta_tag</t>
  </si>
  <si>
    <t>Index</t>
  </si>
  <si>
    <t>Brand</t>
  </si>
  <si>
    <t>5. BALANCING CONFIGURATION</t>
  </si>
  <si>
    <t>6. SALES METRICS</t>
  </si>
  <si>
    <t>7.TOLERANCE CONFIGURATION</t>
  </si>
  <si>
    <t>8.Outlier removal method (Dropdown)</t>
  </si>
  <si>
    <t>2.Data/Files upload</t>
  </si>
  <si>
    <t>3. CAMPAIGN PERIOD</t>
  </si>
  <si>
    <t>4.Pre-Campaign PERIOD</t>
  </si>
  <si>
    <t>Based on the selected Approach user must upload files - Data prep file, meta mapping File, MMX File(for Synthetic approach)</t>
  </si>
  <si>
    <t>System Validates the dates and ensures there is no overlap between pre &amp; campaign period.</t>
  </si>
  <si>
    <t>System Validates Required Column Validation Passed or Mandatory columns missing: {missing_cols}</t>
  </si>
  <si>
    <t>Outputs may expect</t>
  </si>
  <si>
    <t>Upload Data files based on Approach</t>
  </si>
  <si>
    <t>The UI always displays actual business column names, not generic names like Segment_1, Sales_1, or Activity_1.</t>
  </si>
  <si>
    <t xml:space="preserve">TEST and CONTROL </t>
  </si>
  <si>
    <t>Actual_Column_Name</t>
  </si>
  <si>
    <t>Meta_Tag</t>
  </si>
  <si>
    <t>Meta_Category</t>
  </si>
  <si>
    <t>Display_Name</t>
  </si>
  <si>
    <t>Identifier</t>
  </si>
  <si>
    <t>HCP ID</t>
  </si>
  <si>
    <t>Test Control Flag</t>
  </si>
  <si>
    <t>Month ID</t>
  </si>
  <si>
    <t>CAMPAIGN_EXPOSURE</t>
  </si>
  <si>
    <t>ACTIVITY_1</t>
  </si>
  <si>
    <t>Activity</t>
  </si>
  <si>
    <t>Campaign Exposure</t>
  </si>
  <si>
    <t>TOTAL_CLAIMS</t>
  </si>
  <si>
    <t>Segment_Numerical</t>
  </si>
  <si>
    <t>Total Claims</t>
  </si>
  <si>
    <t>HCP_BEHAVIOUR</t>
  </si>
  <si>
    <t>Segment_Categorical</t>
  </si>
  <si>
    <t>HCP Behaviour</t>
  </si>
  <si>
    <t>HCP_PRIORITY</t>
  </si>
  <si>
    <t>HCP Priority</t>
  </si>
  <si>
    <t>ACCOUNT_TYPE</t>
  </si>
  <si>
    <t>Account Type</t>
  </si>
  <si>
    <t>HCP_TYPE</t>
  </si>
  <si>
    <t>HCP Type</t>
  </si>
  <si>
    <t>PATIENT_SIZE</t>
  </si>
  <si>
    <t>Patient Size</t>
  </si>
  <si>
    <t>VACCINATED_PATIENTS</t>
  </si>
  <si>
    <t>Vaccinated Patients</t>
  </si>
  <si>
    <t>UNVACCINATED_PATIENTS</t>
  </si>
  <si>
    <t>Unvaccinated Patients</t>
  </si>
  <si>
    <t>SALES_1</t>
  </si>
  <si>
    <t>SEGMENT_CATEGORICAL_1</t>
  </si>
  <si>
    <t>SEGMENT_CATEGORICAL_2</t>
  </si>
  <si>
    <t>SEGMENT_CATEGORICAL_3</t>
  </si>
  <si>
    <t>SEGMENT_CATEGORICAL_4</t>
  </si>
  <si>
    <t>SEGMENT_NUMERICAL_1</t>
  </si>
  <si>
    <t>SEGMENT_NUMERICAL_2</t>
  </si>
  <si>
    <t>SEGMENT_NUMERICAL_3</t>
  </si>
  <si>
    <t>SEGMENT_NUMERICAL_4</t>
  </si>
  <si>
    <t>HCP_SALES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</si>
</sst>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Segoe UI"/>
      <family val="2"/>
    </font>
    <font>
      <sz val="7"/>
      <color theme="1"/>
      <name val="Segoe UI"/>
      <family val="2"/>
    </font>
    <font>
      <b/>
      <sz val="16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b/>
      <sz val="11"/>
      <name val="Aptos Narrow"/>
      <family val="2"/>
    </font>
    <font>
      <sz val="18"/>
      <color rgb="FF000000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ptos Narrow"/>
      <family val="2"/>
      <scheme val="minor"/>
    </font>
    <font>
      <b/>
      <sz val="22"/>
      <color theme="1"/>
      <name val="Segoe U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6658A6"/>
        <bgColor indexed="64"/>
      </patternFill>
    </fill>
    <fill>
      <patternFill patternType="solid">
        <fgColor rgb="FFD3D1E1"/>
        <bgColor indexed="64"/>
      </patternFill>
    </fill>
    <fill>
      <patternFill patternType="solid">
        <fgColor rgb="FFEAEAF1"/>
        <bgColor indexed="64"/>
      </patternFill>
    </fill>
    <fill>
      <patternFill patternType="solid">
        <fgColor rgb="FFE97132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 indent="2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4" fillId="2" borderId="1" xfId="0" applyFont="1" applyFill="1" applyBorder="1"/>
    <xf numFmtId="0" fontId="0" fillId="0" borderId="2" xfId="0" applyBorder="1"/>
    <xf numFmtId="3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" fontId="5" fillId="4" borderId="2" xfId="0" applyNumberFormat="1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5" fillId="4" borderId="7" xfId="0" applyNumberFormat="1" applyFont="1" applyFill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1" fillId="0" borderId="0" xfId="0" applyFont="1"/>
    <xf numFmtId="9" fontId="0" fillId="0" borderId="2" xfId="0" applyNumberFormat="1" applyBorder="1"/>
    <xf numFmtId="9" fontId="0" fillId="0" borderId="0" xfId="0" applyNumberFormat="1"/>
    <xf numFmtId="0" fontId="7" fillId="0" borderId="9" xfId="0" applyFont="1" applyBorder="1" applyAlignment="1">
      <alignment horizontal="center" vertical="center" wrapText="1" readingOrder="1"/>
    </xf>
    <xf numFmtId="0" fontId="8" fillId="5" borderId="10" xfId="0" applyFont="1" applyFill="1" applyBorder="1" applyAlignment="1">
      <alignment horizontal="center" vertical="center" wrapText="1" readingOrder="1"/>
    </xf>
    <xf numFmtId="0" fontId="9" fillId="6" borderId="11" xfId="0" applyFont="1" applyFill="1" applyBorder="1" applyAlignment="1">
      <alignment horizontal="center" vertical="center" wrapText="1" readingOrder="1"/>
    </xf>
    <xf numFmtId="3" fontId="9" fillId="6" borderId="11" xfId="0" applyNumberFormat="1" applyFont="1" applyFill="1" applyBorder="1" applyAlignment="1">
      <alignment horizontal="center" vertical="center" wrapText="1" readingOrder="1"/>
    </xf>
    <xf numFmtId="0" fontId="9" fillId="7" borderId="12" xfId="0" applyFont="1" applyFill="1" applyBorder="1" applyAlignment="1">
      <alignment horizontal="center" vertical="center" wrapText="1" readingOrder="1"/>
    </xf>
    <xf numFmtId="3" fontId="9" fillId="7" borderId="12" xfId="0" applyNumberFormat="1" applyFont="1" applyFill="1" applyBorder="1" applyAlignment="1">
      <alignment horizontal="center" vertical="center" wrapText="1" readingOrder="1"/>
    </xf>
    <xf numFmtId="0" fontId="10" fillId="8" borderId="2" xfId="0" applyFont="1" applyFill="1" applyBorder="1" applyAlignment="1">
      <alignment horizontal="center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1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prstClr val="black">
                    <a:lumMod val="65000"/>
                    <a:lumOff val="35000"/>
                  </a:prst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Avg Claims - Test vs. Control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'UTC OutPut- Stratified sampling'!$G$19</c:f>
              <c:strCache>
                <c:ptCount val="1"/>
                <c:pt idx="0">
                  <c:v>Pre period (Feb'25 - Jun'25)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'UTC OutPut- Stratified sampling'!$F$20:$F$21</c:f>
              <c:strCache>
                <c:ptCount val="2"/>
                <c:pt idx="0">
                  <c:v>Test Group</c:v>
                </c:pt>
                <c:pt idx="1">
                  <c:v>Control Group</c:v>
                </c:pt>
              </c:strCache>
            </c:strRef>
          </c:cat>
          <c:val>
            <c:numRef>
              <c:f>'UTC OutPut- Stratified sampling'!$G$20:$G$21</c:f>
              <c:numCache>
                <c:formatCode>General</c:formatCode>
                <c:ptCount val="2"/>
                <c:pt idx="0">
                  <c:v>8.33</c:v>
                </c:pt>
                <c:pt idx="1">
                  <c:v>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3-43ED-AD86-39FA3D69967D}"/>
            </c:ext>
          </c:extLst>
        </c:ser>
        <c:ser>
          <c:idx val="1"/>
          <c:order val="1"/>
          <c:tx>
            <c:strRef>
              <c:f>'UTC OutPut- Stratified sampling'!$H$19</c:f>
              <c:strCache>
                <c:ptCount val="1"/>
                <c:pt idx="0">
                  <c:v>UTC period (Aug'25 - Dec'25)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'UTC OutPut- Stratified sampling'!$F$20:$F$21</c:f>
              <c:strCache>
                <c:ptCount val="2"/>
                <c:pt idx="0">
                  <c:v>Test Group</c:v>
                </c:pt>
                <c:pt idx="1">
                  <c:v>Control Group</c:v>
                </c:pt>
              </c:strCache>
            </c:strRef>
          </c:cat>
          <c:val>
            <c:numRef>
              <c:f>'UTC OutPut- Stratified sampling'!$H$20:$H$21</c:f>
              <c:numCache>
                <c:formatCode>General</c:formatCode>
                <c:ptCount val="2"/>
                <c:pt idx="0">
                  <c:v>8.36</c:v>
                </c:pt>
                <c:pt idx="1">
                  <c:v>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43-43ED-AD86-39FA3D6996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9101336"/>
        <c:axId val="699098096"/>
      </c:barChart>
      <c:catAx>
        <c:axId val="699101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098096"/>
        <c:crosses val="autoZero"/>
        <c:auto val="1"/>
        <c:lblAlgn val="ctr"/>
        <c:lblOffset val="100"/>
        <c:noMultiLvlLbl val="0"/>
      </c:catAx>
      <c:valAx>
        <c:axId val="699098096"/>
        <c:scaling>
          <c:orientation val="minMax"/>
          <c:max val="9"/>
          <c:min val="3"/>
        </c:scaling>
        <c:delete val="1"/>
        <c:axPos val="l"/>
        <c:numFmt formatCode="General" sourceLinked="1"/>
        <c:majorTickMark val="none"/>
        <c:minorTickMark val="none"/>
        <c:tickLblPos val="nextTo"/>
        <c:crossAx val="69910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 dirty="0">
                <a:solidFill>
                  <a:srgbClr val="000000">
                    <a:lumMod val="65000"/>
                    <a:lumOff val="35000"/>
                  </a:srgbClr>
                </a:solidFill>
              </a:rPr>
              <a:t>Incremental Lift (Test vs Control Delta) by </a:t>
            </a:r>
            <a:r>
              <a:rPr lang="en-IN" sz="1400" b="0" i="0" u="none" strike="noStrike" kern="1200" spc="0" baseline="0" dirty="0" err="1">
                <a:solidFill>
                  <a:srgbClr val="000000">
                    <a:lumMod val="65000"/>
                    <a:lumOff val="35000"/>
                  </a:srgbClr>
                </a:solidFill>
              </a:rPr>
              <a:t>Behavioral</a:t>
            </a:r>
            <a:r>
              <a:rPr lang="en-IN" sz="1400" b="0" i="0" u="none" strike="noStrike" kern="1200" spc="0" baseline="0" dirty="0">
                <a:solidFill>
                  <a:srgbClr val="000000">
                    <a:lumMod val="65000"/>
                    <a:lumOff val="35000"/>
                  </a:srgbClr>
                </a:solidFill>
              </a:rPr>
              <a:t> 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'UTC OutPut- Stratified sampling'!$H$37</c:f>
              <c:strCache>
                <c:ptCount val="1"/>
                <c:pt idx="0">
                  <c:v>Claims Incremental Delta (Test - Control)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'UTC OutPut- Stratified sampling'!$G$38:$G$41</c:f>
              <c:strCache>
                <c:ptCount val="4"/>
                <c:pt idx="0">
                  <c:v>Dormant</c:v>
                </c:pt>
                <c:pt idx="1">
                  <c:v>Dabbler</c:v>
                </c:pt>
                <c:pt idx="2">
                  <c:v>Driver</c:v>
                </c:pt>
                <c:pt idx="3">
                  <c:v>Unknown</c:v>
                </c:pt>
              </c:strCache>
            </c:strRef>
          </c:cat>
          <c:val>
            <c:numRef>
              <c:f>'UTC OutPut- Stratified sampling'!$H$38:$H$41</c:f>
              <c:numCache>
                <c:formatCode>General</c:formatCode>
                <c:ptCount val="4"/>
                <c:pt idx="0">
                  <c:v>0.1</c:v>
                </c:pt>
                <c:pt idx="1">
                  <c:v>0.13</c:v>
                </c:pt>
                <c:pt idx="2">
                  <c:v>0.15</c:v>
                </c:pt>
                <c:pt idx="3">
                  <c:v>0.27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9-4B56-8D2A-03DD023C1D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41544656"/>
        <c:axId val="741545376"/>
      </c:barChart>
      <c:lineChart>
        <c:grouping val="standard"/>
        <c:varyColors val="0"/>
        <c:ser>
          <c:idx val="1"/>
          <c:order val="1"/>
          <c:tx>
            <c:strRef>
              <c:f>'UTC OutPut- Stratified sampling'!$I$37</c:f>
              <c:strCache>
                <c:ptCount val="1"/>
                <c:pt idx="0">
                  <c:v>Incremental Lift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D4E9-4B56-8D2A-03DD023C1D6F}"/>
              </c:ext>
            </c:extLst>
          </c:dPt>
          <c:dLbls>
            <c:dLbl>
              <c:idx val="3"/>
              <c:layout>
                <c:manualLayout>
                  <c:x val="2.777777777777788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E9-4B56-8D2A-03DD023C1D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'UTC OutPut- Stratified sampling'!$G$38:$G$41</c:f>
              <c:strCache>
                <c:ptCount val="4"/>
                <c:pt idx="0">
                  <c:v>Dormant</c:v>
                </c:pt>
                <c:pt idx="1">
                  <c:v>Dabbler</c:v>
                </c:pt>
                <c:pt idx="2">
                  <c:v>Driver</c:v>
                </c:pt>
                <c:pt idx="3">
                  <c:v>Unknown</c:v>
                </c:pt>
              </c:strCache>
            </c:strRef>
          </c:cat>
          <c:val>
            <c:numRef>
              <c:f>'UTC OutPut- Stratified sampling'!$I$38:$I$41</c:f>
              <c:numCache>
                <c:formatCode>0%</c:formatCode>
                <c:ptCount val="4"/>
                <c:pt idx="0">
                  <c:v>0.27</c:v>
                </c:pt>
                <c:pt idx="1">
                  <c:v>2.94</c:v>
                </c:pt>
                <c:pt idx="2">
                  <c:v>0.14000000000000001</c:v>
                </c:pt>
                <c:pt idx="3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E9-4B56-8D2A-03DD023C1D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1551136"/>
        <c:axId val="741546096"/>
      </c:lineChart>
      <c:catAx>
        <c:axId val="74154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45376"/>
        <c:crosses val="autoZero"/>
        <c:auto val="1"/>
        <c:lblAlgn val="ctr"/>
        <c:lblOffset val="100"/>
        <c:noMultiLvlLbl val="0"/>
      </c:catAx>
      <c:valAx>
        <c:axId val="74154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44656"/>
        <c:crosses val="autoZero"/>
        <c:crossBetween val="between"/>
      </c:valAx>
      <c:valAx>
        <c:axId val="74154609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51136"/>
        <c:crosses val="max"/>
        <c:crossBetween val="between"/>
      </c:valAx>
      <c:catAx>
        <c:axId val="741551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415460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180974</xdr:colOff>
      <xdr:row>15</xdr:row>
      <xdr:rowOff>158750</xdr:rowOff>
    </xdr:from>
    <xdr:to>
      <xdr:col>4</xdr:col>
      <xdr:colOff>844549</xdr:colOff>
      <xdr:row>30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37BE8F-B4BE-4D76-A745-193CCA328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660401</xdr:colOff>
      <xdr:row>21</xdr:row>
      <xdr:rowOff>152400</xdr:rowOff>
    </xdr:from>
    <xdr:to>
      <xdr:col>3</xdr:col>
      <xdr:colOff>50800</xdr:colOff>
      <xdr:row>23</xdr:row>
      <xdr:rowOff>127000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AF011C00-9BBD-4BD6-978B-6F51CE9669BA}"/>
            </a:ext>
          </a:extLst>
        </xdr:cNvPr>
        <xdr:cNvSpPr/>
      </xdr:nvSpPr>
      <xdr:spPr>
        <a:xfrm>
          <a:off x="2590801" y="3562350"/>
          <a:ext cx="774699" cy="3429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700" kern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Avg Claims Increase 0.04</a:t>
          </a:r>
          <a:endParaRPr lang="en-IN" sz="700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304801</xdr:colOff>
      <xdr:row>19</xdr:row>
      <xdr:rowOff>88900</xdr:rowOff>
    </xdr:from>
    <xdr:to>
      <xdr:col>4</xdr:col>
      <xdr:colOff>654051</xdr:colOff>
      <xdr:row>21</xdr:row>
      <xdr:rowOff>105937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42121EAF-9B78-4F82-BDF7-9EA0B417B45D}"/>
            </a:ext>
          </a:extLst>
        </xdr:cNvPr>
        <xdr:cNvSpPr/>
      </xdr:nvSpPr>
      <xdr:spPr>
        <a:xfrm>
          <a:off x="4965701" y="3130550"/>
          <a:ext cx="349250" cy="385337"/>
        </a:xfrm>
        <a:prstGeom prst="downArrow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IN" kern="1200"/>
        </a:p>
      </xdr:txBody>
    </xdr:sp>
    <xdr:clientData/>
  </xdr:twoCellAnchor>
  <xdr:twoCellAnchor>
    <xdr:from>
      <xdr:col>1</xdr:col>
      <xdr:colOff>244475</xdr:colOff>
      <xdr:row>33</xdr:row>
      <xdr:rowOff>114300</xdr:rowOff>
    </xdr:from>
    <xdr:to>
      <xdr:col>4</xdr:col>
      <xdr:colOff>765175</xdr:colOff>
      <xdr:row>48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A5C1C3-C86E-45BB-BBB4-3958B4A28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419100</xdr:colOff>
      <xdr:row>31</xdr:row>
      <xdr:rowOff>25400</xdr:rowOff>
    </xdr:from>
    <xdr:to>
      <xdr:col>5</xdr:col>
      <xdr:colOff>1081658</xdr:colOff>
      <xdr:row>32</xdr:row>
      <xdr:rowOff>179804</xdr:rowOff>
    </xdr:to>
    <xdr:sp macro="" textlink="">
      <xdr:nvSpPr>
        <xdr:cNvPr id="6" name="TextBox 7">
          <a:extLst>
            <a:ext uri="{FF2B5EF4-FFF2-40B4-BE49-F238E27FC236}">
              <a16:creationId xmlns:a16="http://schemas.microsoft.com/office/drawing/2014/main" id="{7B22388C-5DB6-424B-9865-8BBBA8024485}"/>
            </a:ext>
          </a:extLst>
        </xdr:cNvPr>
        <xdr:cNvSpPr txBox="1"/>
      </xdr:nvSpPr>
      <xdr:spPr>
        <a:xfrm>
          <a:off x="419100" y="5276850"/>
          <a:ext cx="6733158" cy="338554"/>
        </a:xfrm>
        <a:prstGeom prst="rect">
          <a:avLst/>
        </a:prstGeom>
        <a:noFill/>
        <a:ln>
          <a:solidFill>
            <a:schemeClr val="accent1"/>
          </a:solidFill>
        </a:ln>
      </xdr:spPr>
      <xdr:txBody>
        <a:bodyPr wrap="square" rtlCol="0" anchor="ctr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914400" lvl="0">
            <a:defRPr/>
          </a:pPr>
          <a:r>
            <a:rPr kumimoji="0" lang="en-US" sz="1600" b="1" i="0" u="none" strike="noStrike" kern="120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Lift (Test vs. Control) : </a:t>
          </a:r>
          <a:r>
            <a:rPr lang="en-US" sz="1600" b="1">
              <a:solidFill>
                <a:prstClr val="black"/>
              </a:solidFill>
              <a:latin typeface="Arial" panose="020B0604020202020204" pitchFamily="34" charset="0"/>
              <a:cs typeface="Arial" panose="020B0604020202020204" pitchFamily="34" charset="0"/>
            </a:rPr>
            <a:t>+132%</a:t>
          </a:r>
          <a:r>
            <a:rPr lang="en-US" sz="1600" b="1">
              <a:solidFill>
                <a:schemeClr val="accent6"/>
              </a:solidFill>
              <a:latin typeface="Arial" panose="020B0604020202020204" pitchFamily="34" charset="0"/>
              <a:cs typeface="Arial" panose="020B0604020202020204" pitchFamily="34" charset="0"/>
            </a:rPr>
            <a:t> *</a:t>
          </a:r>
          <a:r>
            <a:rPr lang="en-US" sz="1600" b="1">
              <a:solidFill>
                <a:prstClr val="black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kumimoji="0" lang="en-US" sz="1600" b="1" i="0" u="none" strike="noStrike" kern="120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76200</xdr:colOff>
      <xdr:row>31</xdr:row>
      <xdr:rowOff>133350</xdr:rowOff>
    </xdr:from>
    <xdr:to>
      <xdr:col>6</xdr:col>
      <xdr:colOff>326544</xdr:colOff>
      <xdr:row>33</xdr:row>
      <xdr:rowOff>26660</xdr:rowOff>
    </xdr:to>
    <xdr:sp macro="" textlink="">
      <xdr:nvSpPr>
        <xdr:cNvPr id="7" name="TextBox 13">
          <a:extLst>
            <a:ext uri="{FF2B5EF4-FFF2-40B4-BE49-F238E27FC236}">
              <a16:creationId xmlns:a16="http://schemas.microsoft.com/office/drawing/2014/main" id="{434841FE-EB11-4329-8061-754772B32602}"/>
            </a:ext>
          </a:extLst>
        </xdr:cNvPr>
        <xdr:cNvSpPr txBox="1"/>
      </xdr:nvSpPr>
      <xdr:spPr>
        <a:xfrm>
          <a:off x="6146800" y="5384800"/>
          <a:ext cx="2174394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GB" sz="1100"/>
            <a:t>p-value = 0.04</a:t>
          </a:r>
          <a:endParaRPr lang="en-IN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0.43962</cdr:x>
      <cdr:y>0.18359</cdr:y>
    </cdr:from>
    <cdr:to>
      <cdr:x>0.49931</cdr:x>
      <cdr:y>0.31944</cdr:y>
    </cdr:to>
    <cdr:sp macro="" textlink="">
      <cdr:nvSpPr>
        <cdr:cNvPr id="2" name="Arrow: Down 1">
          <a:extLst xmlns:a="http://schemas.openxmlformats.org/drawingml/2006/main">
            <a:ext uri="{FF2B5EF4-FFF2-40B4-BE49-F238E27FC236}">
              <a16:creationId xmlns:a16="http://schemas.microsoft.com/office/drawing/2014/main" id="{D3480430-16D6-36A6-3AD2-A1DE5917CAD9}"/>
            </a:ext>
          </a:extLst>
        </cdr:cNvPr>
        <cdr:cNvSpPr/>
      </cdr:nvSpPr>
      <cdr:spPr>
        <a:xfrm xmlns:a="http://schemas.openxmlformats.org/drawingml/2006/main" rot="10800000">
          <a:off x="2009925" y="503626"/>
          <a:ext cx="272900" cy="372673"/>
        </a:xfrm>
        <a:prstGeom xmlns:a="http://schemas.openxmlformats.org/drawingml/2006/main" prst="downArrow">
          <a:avLst/>
        </a:prstGeom>
        <a:solidFill xmlns:a="http://schemas.openxmlformats.org/drawingml/2006/main">
          <a:schemeClr val="accent3">
            <a:lumMod val="60000"/>
            <a:lumOff val="4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defPPr>
            <a:defRPr lang="en-US"/>
          </a:defPPr>
          <a:lvl1pPr marL="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 algn="l" defTabSz="914400" rtl="0" eaLnBrk="1" latinLnBrk="0" hangingPunct="1">
            <a:defRPr sz="1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N" kern="1200"/>
        </a:p>
      </cdr:txBody>
    </cdr:sp>
  </cdr:relSizeAnchor>
  <cdr:relSizeAnchor xmlns:cdr="http://schemas.openxmlformats.org/drawingml/2006/chartDrawing">
    <cdr:from>
      <cdr:x>0.84916</cdr:x>
      <cdr:y>0.31713</cdr:y>
    </cdr:from>
    <cdr:to>
      <cdr:x>1</cdr:x>
      <cdr:y>0.43807</cdr:y>
    </cdr:to>
    <cdr:sp macro="" textlink="">
      <cdr:nvSpPr>
        <cdr:cNvPr id="3" name="Rectangle: Rounded Corners 2">
          <a:extLst xmlns:a="http://schemas.openxmlformats.org/drawingml/2006/main">
            <a:ext uri="{FF2B5EF4-FFF2-40B4-BE49-F238E27FC236}">
              <a16:creationId xmlns:a16="http://schemas.microsoft.com/office/drawing/2014/main" id="{88508EEE-0586-7E37-86B9-6BF44272B5C2}"/>
            </a:ext>
          </a:extLst>
        </cdr:cNvPr>
        <cdr:cNvSpPr/>
      </cdr:nvSpPr>
      <cdr:spPr>
        <a:xfrm xmlns:a="http://schemas.openxmlformats.org/drawingml/2006/main">
          <a:off x="4003675" y="878005"/>
          <a:ext cx="711199" cy="334845"/>
        </a:xfrm>
        <a:prstGeom xmlns:a="http://schemas.openxmlformats.org/drawingml/2006/main" prst="roundRect">
          <a:avLst/>
        </a:prstGeom>
        <a:solidFill xmlns:a="http://schemas.openxmlformats.org/drawingml/2006/main">
          <a:schemeClr val="bg1">
            <a:lumMod val="9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wrap="square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700" kern="12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Avg Claims Drop 0.11</a:t>
          </a:r>
          <a:endParaRPr lang="en-IN" sz="700" kern="120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ndegene123-my.sharepoint.com/personal/thallapally_kumar_indegene_com/Documents/Desktop/Genen%20Tech%20-%20Demo%20OCM%20Dashboard/GenenTech%20Demo.xlsx" TargetMode="External"/><Relationship Id="rId1" Type="http://schemas.openxmlformats.org/officeDocument/2006/relationships/externalLinkPath" Target="GenenTech%20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TC InPut- Stratified sampling"/>
      <sheetName val="Overall"/>
      <sheetName val="Stratification"/>
      <sheetName val="Traditional"/>
      <sheetName val="MetaFile"/>
      <sheetName val="Input Flow"/>
      <sheetName val="UTC OutPut- Stratified sampling"/>
      <sheetName val="Strat Data pr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9">
          <cell r="G19" t="str">
            <v>Pre period (Feb'25 - Jun'25)</v>
          </cell>
          <cell r="H19" t="str">
            <v>UTC period (Aug'25 - Dec'25)</v>
          </cell>
        </row>
        <row r="20">
          <cell r="F20" t="str">
            <v>Test Group</v>
          </cell>
          <cell r="G20">
            <v>8.33</v>
          </cell>
          <cell r="H20">
            <v>8.36</v>
          </cell>
        </row>
        <row r="21">
          <cell r="F21" t="str">
            <v>Control Group</v>
          </cell>
          <cell r="G21">
            <v>8.64</v>
          </cell>
          <cell r="H21">
            <v>8.52</v>
          </cell>
        </row>
        <row r="37">
          <cell r="H37" t="str">
            <v>Claims Incremental Delta (Test - Control)</v>
          </cell>
          <cell r="I37" t="str">
            <v>Incremental Lift %</v>
          </cell>
        </row>
        <row r="38">
          <cell r="G38" t="str">
            <v>Dormant</v>
          </cell>
          <cell r="H38">
            <v>0.1</v>
          </cell>
          <cell r="I38">
            <v>0.27</v>
          </cell>
        </row>
        <row r="39">
          <cell r="G39" t="str">
            <v>Dabbler</v>
          </cell>
          <cell r="H39">
            <v>0.13</v>
          </cell>
          <cell r="I39">
            <v>2.94</v>
          </cell>
        </row>
        <row r="40">
          <cell r="G40" t="str">
            <v>Driver</v>
          </cell>
          <cell r="H40">
            <v>0.15</v>
          </cell>
          <cell r="I40">
            <v>0.14000000000000001</v>
          </cell>
        </row>
        <row r="41">
          <cell r="G41" t="str">
            <v>Unknown</v>
          </cell>
          <cell r="H41">
            <v>0.27</v>
          </cell>
          <cell r="I41">
            <v>0.31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538BE-0213-4BC0-9284-212997F8ABA4}">
  <dimension ref="B1:D34"/>
  <sheetViews>
    <sheetView workbookViewId="0">
      <selection activeCell="B4" sqref="B4"/>
    </sheetView>
  </sheetViews>
  <sheetFormatPr defaultRowHeight="14.5" x14ac:dyDescent="0.35"/>
  <cols>
    <col min="2" max="2" width="92.26953125" customWidth="1"/>
    <col min="3" max="3" width="37.90625" customWidth="1"/>
    <col min="4" max="4" width="44.08984375" customWidth="1"/>
  </cols>
  <sheetData>
    <row r="1" spans="2:3" ht="32.5" x14ac:dyDescent="0.35">
      <c r="B1" s="38" t="s">
        <v>126</v>
      </c>
    </row>
    <row r="2" spans="2:3" ht="32.5" x14ac:dyDescent="0.35">
      <c r="B2" s="38"/>
    </row>
    <row r="3" spans="2:3" ht="26" x14ac:dyDescent="0.35">
      <c r="B3" s="1" t="s">
        <v>0</v>
      </c>
      <c r="C3" s="24" t="s">
        <v>123</v>
      </c>
    </row>
    <row r="4" spans="2:3" x14ac:dyDescent="0.35">
      <c r="B4" t="s">
        <v>1</v>
      </c>
    </row>
    <row r="5" spans="2:3" ht="26" x14ac:dyDescent="0.35">
      <c r="B5" s="1" t="s">
        <v>117</v>
      </c>
      <c r="C5" t="s">
        <v>124</v>
      </c>
    </row>
    <row r="6" spans="2:3" x14ac:dyDescent="0.35">
      <c r="B6" t="s">
        <v>120</v>
      </c>
      <c r="C6" t="s">
        <v>122</v>
      </c>
    </row>
    <row r="7" spans="2:3" ht="43.5" x14ac:dyDescent="0.35">
      <c r="B7" s="2" t="s">
        <v>2</v>
      </c>
    </row>
    <row r="8" spans="2:3" x14ac:dyDescent="0.35">
      <c r="B8" t="s">
        <v>125</v>
      </c>
    </row>
    <row r="10" spans="2:3" ht="26" x14ac:dyDescent="0.35">
      <c r="B10" s="1" t="s">
        <v>118</v>
      </c>
    </row>
    <row r="11" spans="2:3" ht="29" x14ac:dyDescent="0.35">
      <c r="B11" s="2" t="s">
        <v>3</v>
      </c>
    </row>
    <row r="12" spans="2:3" x14ac:dyDescent="0.35">
      <c r="B12" s="4"/>
    </row>
    <row r="13" spans="2:3" ht="26" x14ac:dyDescent="0.35">
      <c r="B13" s="1" t="s">
        <v>119</v>
      </c>
    </row>
    <row r="14" spans="2:3" ht="29" x14ac:dyDescent="0.35">
      <c r="B14" s="2" t="s">
        <v>4</v>
      </c>
      <c r="C14" t="s">
        <v>121</v>
      </c>
    </row>
    <row r="15" spans="2:3" x14ac:dyDescent="0.35">
      <c r="B15" s="3"/>
    </row>
    <row r="16" spans="2:3" x14ac:dyDescent="0.35">
      <c r="B16" s="5"/>
    </row>
    <row r="17" spans="2:4" ht="26" x14ac:dyDescent="0.35">
      <c r="B17" s="1" t="s">
        <v>113</v>
      </c>
    </row>
    <row r="18" spans="2:4" x14ac:dyDescent="0.35">
      <c r="B18" t="s">
        <v>5</v>
      </c>
    </row>
    <row r="19" spans="2:4" x14ac:dyDescent="0.35">
      <c r="B19" t="s">
        <v>6</v>
      </c>
    </row>
    <row r="20" spans="2:4" ht="29" x14ac:dyDescent="0.35">
      <c r="B20" s="6" t="s">
        <v>7</v>
      </c>
    </row>
    <row r="21" spans="2:4" ht="87" x14ac:dyDescent="0.35">
      <c r="B21" s="6" t="s">
        <v>8</v>
      </c>
      <c r="C21" s="6" t="s">
        <v>9</v>
      </c>
    </row>
    <row r="23" spans="2:4" ht="26" x14ac:dyDescent="0.35">
      <c r="B23" s="1" t="s">
        <v>114</v>
      </c>
    </row>
    <row r="24" spans="2:4" ht="29" x14ac:dyDescent="0.35">
      <c r="B24" s="6" t="s">
        <v>10</v>
      </c>
    </row>
    <row r="25" spans="2:4" ht="43.5" x14ac:dyDescent="0.35">
      <c r="B25" s="6" t="s">
        <v>11</v>
      </c>
    </row>
    <row r="26" spans="2:4" ht="58" x14ac:dyDescent="0.35">
      <c r="B26" s="2" t="s">
        <v>12</v>
      </c>
      <c r="C26" s="6" t="s">
        <v>13</v>
      </c>
    </row>
    <row r="27" spans="2:4" x14ac:dyDescent="0.35">
      <c r="B27" s="7"/>
    </row>
    <row r="28" spans="2:4" ht="26" x14ac:dyDescent="0.35">
      <c r="B28" s="1" t="s">
        <v>115</v>
      </c>
    </row>
    <row r="29" spans="2:4" ht="29" x14ac:dyDescent="0.35">
      <c r="B29" s="6" t="s">
        <v>14</v>
      </c>
    </row>
    <row r="30" spans="2:4" ht="145" x14ac:dyDescent="0.35">
      <c r="B30" s="6" t="s">
        <v>15</v>
      </c>
      <c r="C30" s="6" t="s">
        <v>16</v>
      </c>
      <c r="D30" s="6" t="s">
        <v>17</v>
      </c>
    </row>
    <row r="31" spans="2:4" ht="58" x14ac:dyDescent="0.35">
      <c r="B31" s="6" t="s">
        <v>18</v>
      </c>
    </row>
    <row r="32" spans="2:4" x14ac:dyDescent="0.35">
      <c r="B32" s="8"/>
    </row>
    <row r="33" spans="2:2" ht="26" x14ac:dyDescent="0.35">
      <c r="B33" s="1" t="s">
        <v>116</v>
      </c>
    </row>
    <row r="34" spans="2:2" x14ac:dyDescent="0.35">
      <c r="B3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D3E8F-8F27-4D48-BBAB-022E7D87AA65}">
  <dimension ref="A3:K52"/>
  <sheetViews>
    <sheetView topLeftCell="A9" workbookViewId="0">
      <selection activeCell="F22" sqref="F22"/>
    </sheetView>
  </sheetViews>
  <sheetFormatPr defaultRowHeight="14.5" x14ac:dyDescent="0.35"/>
  <cols>
    <col min="2" max="2" width="18.90625" bestFit="1" customWidth="1"/>
    <col min="3" max="3" width="19.81640625" bestFit="1" customWidth="1"/>
    <col min="4" max="4" width="19.26953125" bestFit="1" customWidth="1"/>
    <col min="5" max="5" width="20.1796875" bestFit="1" customWidth="1"/>
    <col min="6" max="6" width="27.54296875" bestFit="1" customWidth="1"/>
    <col min="7" max="7" width="27.90625" bestFit="1" customWidth="1"/>
    <col min="8" max="8" width="15.36328125" bestFit="1" customWidth="1"/>
    <col min="9" max="9" width="7.08984375" bestFit="1" customWidth="1"/>
    <col min="10" max="11" width="11.26953125" bestFit="1" customWidth="1"/>
  </cols>
  <sheetData>
    <row r="3" spans="1:11" ht="15" thickBot="1" x14ac:dyDescent="0.4"/>
    <row r="4" spans="1:11" ht="21.5" thickBot="1" x14ac:dyDescent="0.55000000000000004">
      <c r="B4" s="9" t="s">
        <v>20</v>
      </c>
    </row>
    <row r="5" spans="1:11" x14ac:dyDescent="0.35">
      <c r="A5" t="s">
        <v>21</v>
      </c>
    </row>
    <row r="6" spans="1:11" x14ac:dyDescent="0.35">
      <c r="B6" s="10" t="s">
        <v>22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27</v>
      </c>
      <c r="H6" s="10" t="s">
        <v>28</v>
      </c>
    </row>
    <row r="7" spans="1:11" x14ac:dyDescent="0.35">
      <c r="B7" s="10" t="s">
        <v>29</v>
      </c>
      <c r="C7" s="11">
        <v>62828</v>
      </c>
      <c r="D7" s="11">
        <v>62005</v>
      </c>
      <c r="E7" s="11">
        <v>7275</v>
      </c>
      <c r="F7" s="12">
        <v>8.6361512027491401</v>
      </c>
      <c r="G7" s="12">
        <v>8.5230240549828107</v>
      </c>
      <c r="H7" s="12">
        <v>-0.113127147766322</v>
      </c>
    </row>
    <row r="8" spans="1:11" x14ac:dyDescent="0.35">
      <c r="B8" s="10" t="s">
        <v>30</v>
      </c>
      <c r="C8" s="11">
        <v>218741</v>
      </c>
      <c r="D8" s="11">
        <v>219685</v>
      </c>
      <c r="E8" s="11">
        <v>26275</v>
      </c>
      <c r="F8" s="12">
        <v>8.3250618458610806</v>
      </c>
      <c r="G8" s="12">
        <v>8.3609895337773494</v>
      </c>
      <c r="H8" s="12">
        <v>3.5927687916270601E-2</v>
      </c>
    </row>
    <row r="9" spans="1:11" x14ac:dyDescent="0.35">
      <c r="B9" s="13" t="s">
        <v>31</v>
      </c>
      <c r="C9" s="13" t="s">
        <v>32</v>
      </c>
      <c r="D9" s="13" t="s">
        <v>33</v>
      </c>
      <c r="E9" s="13" t="s">
        <v>34</v>
      </c>
    </row>
    <row r="10" spans="1:11" x14ac:dyDescent="0.35">
      <c r="B10" s="14">
        <f>H8-H7</f>
        <v>0.14905483568259259</v>
      </c>
      <c r="C10" s="15">
        <f>B10/ABS(H7)</f>
        <v>1.317586791726453</v>
      </c>
      <c r="D10" s="14">
        <v>0.04</v>
      </c>
      <c r="E10" s="16" t="str">
        <f>IF(D10&lt;=0.05,"Significant","Not Significant")</f>
        <v>Significant</v>
      </c>
    </row>
    <row r="13" spans="1:11" hidden="1" x14ac:dyDescent="0.35">
      <c r="A13" t="s">
        <v>35</v>
      </c>
    </row>
    <row r="14" spans="1:11" hidden="1" x14ac:dyDescent="0.35">
      <c r="B14" s="17" t="s">
        <v>36</v>
      </c>
      <c r="C14" s="18" t="s">
        <v>37</v>
      </c>
      <c r="D14" s="18" t="s">
        <v>38</v>
      </c>
      <c r="E14" s="18" t="s">
        <v>39</v>
      </c>
      <c r="F14" s="18" t="s">
        <v>40</v>
      </c>
      <c r="G14" s="18" t="s">
        <v>41</v>
      </c>
      <c r="H14" s="18" t="s">
        <v>31</v>
      </c>
      <c r="I14" s="18" t="s">
        <v>32</v>
      </c>
      <c r="J14" s="18" t="s">
        <v>33</v>
      </c>
      <c r="K14" s="19" t="s">
        <v>34</v>
      </c>
    </row>
    <row r="15" spans="1:11" ht="15" hidden="1" thickBot="1" x14ac:dyDescent="0.4">
      <c r="B15" s="20">
        <v>8.3250618458610806</v>
      </c>
      <c r="C15" s="21">
        <v>8.3609895337773494</v>
      </c>
      <c r="D15" s="21">
        <v>8.6361512027491401</v>
      </c>
      <c r="E15" s="21">
        <v>8.5230240549828107</v>
      </c>
      <c r="F15" s="21">
        <f>C15-B15</f>
        <v>3.592768791626888E-2</v>
      </c>
      <c r="G15" s="21">
        <f>E15-D15</f>
        <v>-0.11312714776632937</v>
      </c>
      <c r="H15" s="21">
        <f>F15-G15</f>
        <v>0.14905483568259825</v>
      </c>
      <c r="I15" s="22">
        <f>H15/ABS(G15)</f>
        <v>1.3175867917264172</v>
      </c>
      <c r="J15" s="21">
        <v>0.04</v>
      </c>
      <c r="K15" s="23" t="str">
        <f>IF(J15&lt;=0.05,"Significant","Not Significant")</f>
        <v>Significant</v>
      </c>
    </row>
    <row r="18" spans="1:8" x14ac:dyDescent="0.35">
      <c r="A18" t="s">
        <v>42</v>
      </c>
    </row>
    <row r="19" spans="1:8" x14ac:dyDescent="0.35">
      <c r="F19" s="10"/>
      <c r="G19" s="10" t="s">
        <v>43</v>
      </c>
      <c r="H19" s="10" t="s">
        <v>44</v>
      </c>
    </row>
    <row r="20" spans="1:8" x14ac:dyDescent="0.35">
      <c r="F20" s="10" t="s">
        <v>45</v>
      </c>
      <c r="G20" s="10">
        <v>8.33</v>
      </c>
      <c r="H20" s="10">
        <v>8.36</v>
      </c>
    </row>
    <row r="21" spans="1:8" x14ac:dyDescent="0.35">
      <c r="F21" s="10" t="s">
        <v>46</v>
      </c>
      <c r="G21" s="10">
        <v>8.64</v>
      </c>
      <c r="H21" s="10">
        <v>8.52</v>
      </c>
    </row>
    <row r="36" spans="7:9" x14ac:dyDescent="0.35">
      <c r="G36" s="24" t="s">
        <v>47</v>
      </c>
    </row>
    <row r="37" spans="7:9" x14ac:dyDescent="0.35">
      <c r="G37" s="10" t="s">
        <v>48</v>
      </c>
      <c r="H37" s="10" t="s">
        <v>49</v>
      </c>
      <c r="I37" s="10" t="s">
        <v>50</v>
      </c>
    </row>
    <row r="38" spans="7:9" x14ac:dyDescent="0.35">
      <c r="G38" s="10" t="s">
        <v>51</v>
      </c>
      <c r="H38" s="10">
        <v>0.1</v>
      </c>
      <c r="I38" s="25">
        <v>0.27</v>
      </c>
    </row>
    <row r="39" spans="7:9" x14ac:dyDescent="0.35">
      <c r="G39" s="10" t="s">
        <v>52</v>
      </c>
      <c r="H39" s="10">
        <v>0.13</v>
      </c>
      <c r="I39" s="25">
        <v>2.94</v>
      </c>
    </row>
    <row r="40" spans="7:9" x14ac:dyDescent="0.35">
      <c r="G40" s="10" t="s">
        <v>53</v>
      </c>
      <c r="H40" s="10">
        <v>0.15</v>
      </c>
      <c r="I40" s="25">
        <v>0.14000000000000001</v>
      </c>
    </row>
    <row r="41" spans="7:9" x14ac:dyDescent="0.35">
      <c r="G41" s="10" t="s">
        <v>54</v>
      </c>
      <c r="H41" s="10">
        <v>0.27</v>
      </c>
      <c r="I41" s="25">
        <v>0.31</v>
      </c>
    </row>
    <row r="45" spans="7:9" x14ac:dyDescent="0.35">
      <c r="I45" s="26"/>
    </row>
    <row r="46" spans="7:9" x14ac:dyDescent="0.35">
      <c r="I46" s="26"/>
    </row>
    <row r="47" spans="7:9" x14ac:dyDescent="0.35">
      <c r="I47" s="26"/>
    </row>
    <row r="48" spans="7:9" x14ac:dyDescent="0.35">
      <c r="I48" s="26"/>
    </row>
    <row r="49" spans="2:9" ht="15" thickBot="1" x14ac:dyDescent="0.4">
      <c r="I49" s="26"/>
    </row>
    <row r="50" spans="2:9" ht="23" thickBot="1" x14ac:dyDescent="0.4">
      <c r="B50" s="27"/>
      <c r="C50" s="28" t="s">
        <v>51</v>
      </c>
      <c r="D50" s="28" t="s">
        <v>52</v>
      </c>
      <c r="E50" s="28" t="s">
        <v>53</v>
      </c>
      <c r="F50" s="28" t="s">
        <v>54</v>
      </c>
      <c r="I50" s="26"/>
    </row>
    <row r="51" spans="2:9" ht="16.5" thickTop="1" thickBot="1" x14ac:dyDescent="0.4">
      <c r="B51" s="29" t="s">
        <v>30</v>
      </c>
      <c r="C51" s="30">
        <v>10669</v>
      </c>
      <c r="D51" s="30">
        <v>9896</v>
      </c>
      <c r="E51" s="30">
        <v>4163</v>
      </c>
      <c r="F51" s="30">
        <v>1547</v>
      </c>
    </row>
    <row r="52" spans="2:9" ht="16" thickBot="1" x14ac:dyDescent="0.4">
      <c r="B52" s="31" t="s">
        <v>29</v>
      </c>
      <c r="C52" s="32">
        <v>2825</v>
      </c>
      <c r="D52" s="32">
        <v>2762</v>
      </c>
      <c r="E52" s="32">
        <v>1241</v>
      </c>
      <c r="F52" s="31">
        <v>447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16F8-F3D7-4D23-91AC-D174322F577C}">
  <dimension ref="A1:Q34"/>
  <sheetViews>
    <sheetView topLeftCell="B1" workbookViewId="0">
      <selection activeCell="E6" sqref="E6"/>
    </sheetView>
  </sheetViews>
  <sheetFormatPr defaultRowHeight="14.5" x14ac:dyDescent="0.35"/>
  <cols>
    <col min="1" max="1" width="8.6328125" bestFit="1" customWidth="1"/>
    <col min="2" max="2" width="67.453125" bestFit="1" customWidth="1"/>
    <col min="3" max="3" width="15.6328125" bestFit="1" customWidth="1"/>
    <col min="4" max="4" width="7.1796875" bestFit="1" customWidth="1"/>
    <col min="5" max="5" width="8.90625" bestFit="1" customWidth="1"/>
    <col min="6" max="9" width="10" bestFit="1" customWidth="1"/>
    <col min="10" max="10" width="38.7265625" bestFit="1" customWidth="1"/>
    <col min="11" max="11" width="44.08984375" bestFit="1" customWidth="1"/>
    <col min="12" max="12" width="12.6328125" bestFit="1" customWidth="1"/>
    <col min="13" max="13" width="10" bestFit="1" customWidth="1"/>
    <col min="14" max="14" width="10.08984375" bestFit="1" customWidth="1"/>
    <col min="15" max="17" width="11" bestFit="1" customWidth="1"/>
  </cols>
  <sheetData>
    <row r="1" spans="1:17" x14ac:dyDescent="0.35">
      <c r="A1" s="33" t="s">
        <v>55</v>
      </c>
      <c r="B1" s="33" t="s">
        <v>56</v>
      </c>
      <c r="C1" s="33" t="s">
        <v>57</v>
      </c>
      <c r="D1" s="33" t="s">
        <v>58</v>
      </c>
      <c r="E1" s="33" t="s">
        <v>59</v>
      </c>
      <c r="F1" s="33" t="s">
        <v>60</v>
      </c>
      <c r="G1" s="33" t="s">
        <v>61</v>
      </c>
      <c r="H1" s="33" t="s">
        <v>62</v>
      </c>
      <c r="I1" s="33" t="s">
        <v>63</v>
      </c>
      <c r="J1" s="33" t="s">
        <v>64</v>
      </c>
      <c r="K1" s="33" t="s">
        <v>65</v>
      </c>
      <c r="L1" s="33" t="s">
        <v>66</v>
      </c>
      <c r="M1" s="33" t="s">
        <v>67</v>
      </c>
      <c r="N1" s="33" t="s">
        <v>68</v>
      </c>
      <c r="O1" s="33" t="s">
        <v>69</v>
      </c>
      <c r="P1" s="33" t="s">
        <v>70</v>
      </c>
      <c r="Q1" s="33" t="s">
        <v>71</v>
      </c>
    </row>
    <row r="2" spans="1:17" x14ac:dyDescent="0.35">
      <c r="A2" s="34">
        <v>2408</v>
      </c>
      <c r="B2" s="34">
        <v>202509</v>
      </c>
      <c r="C2" s="34" t="s">
        <v>72</v>
      </c>
      <c r="D2" s="34">
        <v>4</v>
      </c>
      <c r="E2" s="34">
        <v>0</v>
      </c>
      <c r="F2" s="34" t="s">
        <v>73</v>
      </c>
      <c r="G2" s="34">
        <v>1</v>
      </c>
      <c r="H2" s="34" t="s">
        <v>74</v>
      </c>
      <c r="I2" s="34" t="s">
        <v>74</v>
      </c>
      <c r="J2" s="34" t="s">
        <v>75</v>
      </c>
      <c r="K2" s="34" t="s">
        <v>76</v>
      </c>
      <c r="L2" s="34" t="s">
        <v>77</v>
      </c>
      <c r="M2" s="34" t="s">
        <v>54</v>
      </c>
      <c r="N2" s="34" t="s">
        <v>78</v>
      </c>
      <c r="O2" s="34" t="s">
        <v>78</v>
      </c>
      <c r="P2" s="34" t="s">
        <v>78</v>
      </c>
      <c r="Q2" s="34" t="s">
        <v>78</v>
      </c>
    </row>
    <row r="3" spans="1:17" x14ac:dyDescent="0.35">
      <c r="A3" s="10">
        <v>4422</v>
      </c>
      <c r="B3" s="10">
        <v>202509</v>
      </c>
      <c r="C3" s="10" t="s">
        <v>72</v>
      </c>
      <c r="D3" s="10">
        <v>1</v>
      </c>
      <c r="E3" s="10">
        <v>1</v>
      </c>
      <c r="F3" s="10" t="s">
        <v>73</v>
      </c>
      <c r="G3" s="10">
        <v>1</v>
      </c>
      <c r="H3" s="10" t="s">
        <v>79</v>
      </c>
      <c r="I3" s="10" t="s">
        <v>80</v>
      </c>
      <c r="J3" s="10" t="s">
        <v>81</v>
      </c>
      <c r="K3" s="10" t="s">
        <v>76</v>
      </c>
      <c r="L3" s="10" t="s">
        <v>82</v>
      </c>
      <c r="M3" s="10" t="s">
        <v>54</v>
      </c>
      <c r="N3" s="10" t="s">
        <v>78</v>
      </c>
      <c r="O3" s="10" t="s">
        <v>78</v>
      </c>
      <c r="P3" s="10" t="s">
        <v>78</v>
      </c>
      <c r="Q3" s="10" t="s">
        <v>78</v>
      </c>
    </row>
    <row r="4" spans="1:17" x14ac:dyDescent="0.35">
      <c r="A4" s="10">
        <v>8539</v>
      </c>
      <c r="B4" s="10">
        <v>202502</v>
      </c>
      <c r="C4" s="10" t="s">
        <v>72</v>
      </c>
      <c r="D4" s="10">
        <v>2</v>
      </c>
      <c r="E4" s="10">
        <v>1</v>
      </c>
      <c r="F4" s="10" t="s">
        <v>83</v>
      </c>
      <c r="G4" s="10">
        <v>0</v>
      </c>
      <c r="H4" s="10" t="s">
        <v>79</v>
      </c>
      <c r="I4" s="10" t="s">
        <v>80</v>
      </c>
      <c r="J4" s="10" t="s">
        <v>75</v>
      </c>
      <c r="K4" s="10" t="s">
        <v>84</v>
      </c>
      <c r="L4" s="10" t="s">
        <v>77</v>
      </c>
      <c r="M4" s="10">
        <v>10085</v>
      </c>
      <c r="N4" s="10" t="s">
        <v>85</v>
      </c>
      <c r="O4" s="10" t="s">
        <v>85</v>
      </c>
      <c r="P4" s="10" t="s">
        <v>86</v>
      </c>
      <c r="Q4" s="10" t="s">
        <v>74</v>
      </c>
    </row>
    <row r="5" spans="1:17" x14ac:dyDescent="0.35">
      <c r="A5" s="10">
        <v>9346</v>
      </c>
      <c r="B5" s="10">
        <v>202510</v>
      </c>
      <c r="C5" s="10" t="s">
        <v>72</v>
      </c>
      <c r="D5" s="10">
        <v>1</v>
      </c>
      <c r="E5" s="10">
        <v>0</v>
      </c>
      <c r="F5" s="10" t="s">
        <v>87</v>
      </c>
      <c r="G5" s="10">
        <v>0</v>
      </c>
      <c r="H5" s="10" t="s">
        <v>79</v>
      </c>
      <c r="I5" s="10" t="s">
        <v>80</v>
      </c>
      <c r="J5" s="10" t="s">
        <v>88</v>
      </c>
      <c r="K5" s="10" t="s">
        <v>76</v>
      </c>
      <c r="L5" s="10" t="s">
        <v>82</v>
      </c>
      <c r="M5" s="10" t="s">
        <v>54</v>
      </c>
      <c r="N5" s="10" t="s">
        <v>78</v>
      </c>
      <c r="O5" s="10" t="s">
        <v>78</v>
      </c>
      <c r="P5" s="10" t="s">
        <v>78</v>
      </c>
      <c r="Q5" s="10" t="s">
        <v>78</v>
      </c>
    </row>
    <row r="6" spans="1:17" x14ac:dyDescent="0.35">
      <c r="A6" s="10">
        <v>9355</v>
      </c>
      <c r="B6" s="10">
        <v>202512</v>
      </c>
      <c r="C6" s="10" t="s">
        <v>72</v>
      </c>
      <c r="D6" s="10">
        <v>0</v>
      </c>
      <c r="E6" s="10">
        <v>1</v>
      </c>
      <c r="F6" s="10" t="s">
        <v>87</v>
      </c>
      <c r="G6" s="10">
        <v>0</v>
      </c>
      <c r="H6" s="10" t="s">
        <v>74</v>
      </c>
      <c r="I6" s="10" t="s">
        <v>74</v>
      </c>
      <c r="J6" s="10" t="s">
        <v>88</v>
      </c>
      <c r="K6" s="10" t="s">
        <v>84</v>
      </c>
      <c r="L6" s="10" t="s">
        <v>77</v>
      </c>
      <c r="M6" s="10" t="s">
        <v>54</v>
      </c>
      <c r="N6" s="10" t="s">
        <v>78</v>
      </c>
      <c r="O6" s="10" t="s">
        <v>78</v>
      </c>
      <c r="P6" s="10" t="s">
        <v>78</v>
      </c>
      <c r="Q6" s="10" t="s">
        <v>78</v>
      </c>
    </row>
    <row r="7" spans="1:17" x14ac:dyDescent="0.35">
      <c r="A7" s="10">
        <v>9911</v>
      </c>
      <c r="B7" s="10">
        <v>202511</v>
      </c>
      <c r="C7" s="10" t="s">
        <v>89</v>
      </c>
      <c r="D7" s="10">
        <v>5</v>
      </c>
      <c r="E7" s="10">
        <v>0</v>
      </c>
      <c r="F7" s="10" t="s">
        <v>87</v>
      </c>
      <c r="G7" s="10">
        <v>0</v>
      </c>
      <c r="H7" s="10" t="s">
        <v>74</v>
      </c>
      <c r="I7" s="10" t="s">
        <v>74</v>
      </c>
      <c r="J7" s="10" t="s">
        <v>75</v>
      </c>
      <c r="K7" s="10" t="s">
        <v>76</v>
      </c>
      <c r="L7" s="10" t="s">
        <v>54</v>
      </c>
      <c r="M7" s="10">
        <v>10083</v>
      </c>
      <c r="N7" s="10" t="s">
        <v>78</v>
      </c>
      <c r="O7" s="10" t="s">
        <v>78</v>
      </c>
      <c r="P7" s="10" t="s">
        <v>78</v>
      </c>
      <c r="Q7" s="10" t="s">
        <v>78</v>
      </c>
    </row>
    <row r="8" spans="1:17" x14ac:dyDescent="0.35">
      <c r="A8" s="10">
        <v>10399</v>
      </c>
      <c r="B8" s="10">
        <v>202512</v>
      </c>
      <c r="C8" s="10" t="s">
        <v>72</v>
      </c>
      <c r="D8" s="10">
        <v>0</v>
      </c>
      <c r="E8" s="10">
        <v>0</v>
      </c>
      <c r="F8" s="10" t="s">
        <v>87</v>
      </c>
      <c r="G8" s="10">
        <v>0</v>
      </c>
      <c r="H8" s="10" t="s">
        <v>74</v>
      </c>
      <c r="I8" s="10" t="s">
        <v>74</v>
      </c>
      <c r="J8" s="10" t="s">
        <v>88</v>
      </c>
      <c r="K8" s="10" t="s">
        <v>76</v>
      </c>
      <c r="L8" s="10" t="s">
        <v>54</v>
      </c>
      <c r="M8" s="10" t="s">
        <v>54</v>
      </c>
      <c r="N8" s="10" t="s">
        <v>78</v>
      </c>
      <c r="O8" s="10" t="s">
        <v>78</v>
      </c>
      <c r="P8" s="10" t="s">
        <v>78</v>
      </c>
      <c r="Q8" s="10" t="s">
        <v>78</v>
      </c>
    </row>
    <row r="9" spans="1:17" x14ac:dyDescent="0.35">
      <c r="A9" s="10">
        <v>10476</v>
      </c>
      <c r="B9" s="10">
        <v>202506</v>
      </c>
      <c r="C9" s="10" t="s">
        <v>89</v>
      </c>
      <c r="D9" s="10">
        <v>2</v>
      </c>
      <c r="E9" s="10">
        <v>1</v>
      </c>
      <c r="F9" s="10" t="s">
        <v>90</v>
      </c>
      <c r="G9" s="10">
        <v>0</v>
      </c>
      <c r="H9" s="10" t="s">
        <v>79</v>
      </c>
      <c r="I9" s="10" t="s">
        <v>80</v>
      </c>
      <c r="J9" s="10" t="s">
        <v>81</v>
      </c>
      <c r="K9" s="10" t="s">
        <v>84</v>
      </c>
      <c r="L9" s="10" t="s">
        <v>54</v>
      </c>
      <c r="M9" s="10" t="s">
        <v>54</v>
      </c>
      <c r="N9" s="10" t="s">
        <v>85</v>
      </c>
      <c r="O9" s="10" t="s">
        <v>85</v>
      </c>
      <c r="P9" s="10" t="s">
        <v>85</v>
      </c>
      <c r="Q9" s="10" t="s">
        <v>85</v>
      </c>
    </row>
    <row r="10" spans="1:17" x14ac:dyDescent="0.35">
      <c r="A10" s="10">
        <v>11971</v>
      </c>
      <c r="B10" s="10">
        <v>202512</v>
      </c>
      <c r="C10" s="10" t="s">
        <v>89</v>
      </c>
      <c r="D10" s="10">
        <v>0</v>
      </c>
      <c r="E10" s="10">
        <v>1</v>
      </c>
      <c r="F10" s="10" t="s">
        <v>87</v>
      </c>
      <c r="G10" s="10">
        <v>0</v>
      </c>
      <c r="H10" s="10" t="s">
        <v>74</v>
      </c>
      <c r="I10" s="10" t="s">
        <v>74</v>
      </c>
      <c r="J10" s="10" t="s">
        <v>88</v>
      </c>
      <c r="K10" s="10" t="s">
        <v>76</v>
      </c>
      <c r="L10" s="10" t="s">
        <v>54</v>
      </c>
      <c r="M10" s="10" t="s">
        <v>54</v>
      </c>
      <c r="N10" s="10" t="s">
        <v>78</v>
      </c>
      <c r="O10" s="10" t="s">
        <v>78</v>
      </c>
      <c r="P10" s="10" t="s">
        <v>78</v>
      </c>
      <c r="Q10" s="10" t="s">
        <v>78</v>
      </c>
    </row>
    <row r="11" spans="1:17" x14ac:dyDescent="0.35">
      <c r="A11" s="10">
        <v>12303</v>
      </c>
      <c r="B11" s="10">
        <v>202501</v>
      </c>
      <c r="C11" s="10" t="s">
        <v>89</v>
      </c>
      <c r="D11" s="10">
        <v>2</v>
      </c>
      <c r="E11" s="10">
        <v>0</v>
      </c>
      <c r="F11" s="10" t="s">
        <v>83</v>
      </c>
      <c r="G11" s="10">
        <v>0</v>
      </c>
      <c r="H11" s="10" t="s">
        <v>79</v>
      </c>
      <c r="I11" s="10" t="s">
        <v>80</v>
      </c>
      <c r="J11" s="10" t="s">
        <v>88</v>
      </c>
      <c r="K11" s="10" t="s">
        <v>91</v>
      </c>
      <c r="L11" s="10" t="s">
        <v>77</v>
      </c>
      <c r="M11" s="10">
        <v>10085</v>
      </c>
      <c r="N11" s="10" t="s">
        <v>78</v>
      </c>
      <c r="O11" s="10" t="s">
        <v>78</v>
      </c>
      <c r="P11" s="10" t="s">
        <v>78</v>
      </c>
      <c r="Q11" s="10" t="s">
        <v>78</v>
      </c>
    </row>
    <row r="12" spans="1:17" x14ac:dyDescent="0.35">
      <c r="A12" s="10">
        <v>12932</v>
      </c>
      <c r="B12" s="10">
        <v>202508</v>
      </c>
      <c r="C12" s="10" t="s">
        <v>72</v>
      </c>
      <c r="D12" s="10">
        <v>2</v>
      </c>
      <c r="E12" s="10">
        <v>0</v>
      </c>
      <c r="F12" s="10" t="s">
        <v>73</v>
      </c>
      <c r="G12" s="10">
        <v>1</v>
      </c>
      <c r="H12" s="10" t="s">
        <v>79</v>
      </c>
      <c r="I12" s="10" t="s">
        <v>80</v>
      </c>
      <c r="J12" s="10" t="s">
        <v>81</v>
      </c>
      <c r="K12" s="10" t="s">
        <v>84</v>
      </c>
      <c r="L12" s="10" t="s">
        <v>77</v>
      </c>
      <c r="M12" s="10">
        <v>10085</v>
      </c>
      <c r="N12" s="10" t="s">
        <v>78</v>
      </c>
      <c r="O12" s="10" t="s">
        <v>78</v>
      </c>
      <c r="P12" s="10" t="s">
        <v>78</v>
      </c>
      <c r="Q12" s="10" t="s">
        <v>78</v>
      </c>
    </row>
    <row r="13" spans="1:17" x14ac:dyDescent="0.35">
      <c r="A13" s="10">
        <v>12932</v>
      </c>
      <c r="B13" s="10">
        <v>202510</v>
      </c>
      <c r="C13" s="10" t="s">
        <v>72</v>
      </c>
      <c r="D13" s="10">
        <v>3</v>
      </c>
      <c r="E13" s="10">
        <v>1</v>
      </c>
      <c r="F13" s="10" t="s">
        <v>87</v>
      </c>
      <c r="G13" s="10">
        <v>0</v>
      </c>
      <c r="H13" s="10" t="s">
        <v>79</v>
      </c>
      <c r="I13" s="10" t="s">
        <v>80</v>
      </c>
      <c r="J13" s="10" t="s">
        <v>81</v>
      </c>
      <c r="K13" s="10" t="s">
        <v>84</v>
      </c>
      <c r="L13" s="10" t="s">
        <v>77</v>
      </c>
      <c r="M13" s="10">
        <v>10085</v>
      </c>
      <c r="N13" s="10" t="s">
        <v>78</v>
      </c>
      <c r="O13" s="10" t="s">
        <v>78</v>
      </c>
      <c r="P13" s="10" t="s">
        <v>78</v>
      </c>
      <c r="Q13" s="10" t="s">
        <v>78</v>
      </c>
    </row>
    <row r="14" spans="1:17" x14ac:dyDescent="0.35">
      <c r="A14" s="10">
        <v>13254</v>
      </c>
      <c r="B14" s="10">
        <v>202506</v>
      </c>
      <c r="C14" s="10" t="s">
        <v>72</v>
      </c>
      <c r="D14" s="10">
        <v>1</v>
      </c>
      <c r="E14" s="10">
        <v>0</v>
      </c>
      <c r="F14" s="10" t="s">
        <v>90</v>
      </c>
      <c r="G14" s="10">
        <v>0</v>
      </c>
      <c r="H14" s="10" t="s">
        <v>79</v>
      </c>
      <c r="I14" s="10" t="s">
        <v>80</v>
      </c>
      <c r="J14" s="10" t="s">
        <v>88</v>
      </c>
      <c r="K14" s="10" t="s">
        <v>91</v>
      </c>
      <c r="L14" s="10" t="s">
        <v>77</v>
      </c>
      <c r="M14" s="10">
        <v>10083</v>
      </c>
      <c r="N14" s="10" t="s">
        <v>74</v>
      </c>
      <c r="O14" s="10" t="s">
        <v>85</v>
      </c>
      <c r="P14" s="10" t="s">
        <v>86</v>
      </c>
      <c r="Q14" s="10" t="s">
        <v>85</v>
      </c>
    </row>
    <row r="15" spans="1:17" x14ac:dyDescent="0.35">
      <c r="A15" s="35"/>
      <c r="B15" s="36"/>
      <c r="C15" s="34"/>
      <c r="D15" s="37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</row>
    <row r="16" spans="1:17" x14ac:dyDescent="0.35">
      <c r="A16" s="33" t="s">
        <v>112</v>
      </c>
      <c r="B16" s="33" t="s">
        <v>109</v>
      </c>
      <c r="C16" s="33" t="s">
        <v>110</v>
      </c>
      <c r="D16" s="33" t="s">
        <v>111</v>
      </c>
    </row>
    <row r="17" spans="1:4" x14ac:dyDescent="0.35">
      <c r="A17" s="10" t="s">
        <v>92</v>
      </c>
      <c r="B17" s="10" t="s">
        <v>55</v>
      </c>
      <c r="C17" s="10" t="s">
        <v>55</v>
      </c>
      <c r="D17" s="10">
        <v>1</v>
      </c>
    </row>
    <row r="18" spans="1:4" x14ac:dyDescent="0.35">
      <c r="A18" s="10" t="s">
        <v>92</v>
      </c>
      <c r="B18" s="10" t="s">
        <v>56</v>
      </c>
      <c r="C18" s="10" t="s">
        <v>56</v>
      </c>
      <c r="D18" s="10">
        <v>1</v>
      </c>
    </row>
    <row r="19" spans="1:4" x14ac:dyDescent="0.35">
      <c r="A19" s="10" t="s">
        <v>92</v>
      </c>
      <c r="B19" s="10" t="s">
        <v>57</v>
      </c>
      <c r="C19" s="10" t="s">
        <v>57</v>
      </c>
      <c r="D19" s="10">
        <v>1</v>
      </c>
    </row>
    <row r="20" spans="1:4" x14ac:dyDescent="0.35">
      <c r="A20" s="10" t="s">
        <v>92</v>
      </c>
      <c r="B20" s="10" t="s">
        <v>93</v>
      </c>
      <c r="C20" s="10" t="s">
        <v>58</v>
      </c>
      <c r="D20" s="10">
        <v>1</v>
      </c>
    </row>
    <row r="21" spans="1:4" x14ac:dyDescent="0.35">
      <c r="A21" s="10" t="s">
        <v>92</v>
      </c>
      <c r="B21" s="10" t="s">
        <v>94</v>
      </c>
      <c r="C21" s="10" t="s">
        <v>59</v>
      </c>
      <c r="D21" s="10">
        <v>1</v>
      </c>
    </row>
    <row r="22" spans="1:4" x14ac:dyDescent="0.35">
      <c r="A22" s="10" t="s">
        <v>92</v>
      </c>
      <c r="B22" s="10" t="s">
        <v>95</v>
      </c>
      <c r="C22" s="10" t="s">
        <v>96</v>
      </c>
      <c r="D22" s="10">
        <v>1</v>
      </c>
    </row>
    <row r="23" spans="1:4" x14ac:dyDescent="0.35">
      <c r="A23" s="10" t="s">
        <v>92</v>
      </c>
      <c r="B23" s="10" t="s">
        <v>97</v>
      </c>
      <c r="C23" s="10" t="s">
        <v>60</v>
      </c>
      <c r="D23" s="10">
        <v>1</v>
      </c>
    </row>
    <row r="24" spans="1:4" x14ac:dyDescent="0.35">
      <c r="A24" s="10" t="s">
        <v>92</v>
      </c>
      <c r="B24" s="10" t="s">
        <v>98</v>
      </c>
      <c r="C24" s="10" t="s">
        <v>61</v>
      </c>
      <c r="D24" s="10">
        <v>1</v>
      </c>
    </row>
    <row r="25" spans="1:4" x14ac:dyDescent="0.35">
      <c r="A25" s="10" t="s">
        <v>92</v>
      </c>
      <c r="B25" s="10" t="s">
        <v>99</v>
      </c>
      <c r="C25" s="10" t="s">
        <v>62</v>
      </c>
      <c r="D25" s="10">
        <v>1</v>
      </c>
    </row>
    <row r="26" spans="1:4" x14ac:dyDescent="0.35">
      <c r="A26" s="10" t="s">
        <v>92</v>
      </c>
      <c r="B26" s="10" t="s">
        <v>100</v>
      </c>
      <c r="C26" s="10" t="s">
        <v>63</v>
      </c>
      <c r="D26" s="10">
        <v>1</v>
      </c>
    </row>
    <row r="27" spans="1:4" x14ac:dyDescent="0.35">
      <c r="A27" s="10" t="s">
        <v>92</v>
      </c>
      <c r="B27" s="10" t="s">
        <v>101</v>
      </c>
      <c r="C27" s="10" t="s">
        <v>64</v>
      </c>
      <c r="D27" s="10">
        <v>1</v>
      </c>
    </row>
    <row r="28" spans="1:4" x14ac:dyDescent="0.35">
      <c r="A28" s="10" t="s">
        <v>92</v>
      </c>
      <c r="B28" s="10" t="s">
        <v>102</v>
      </c>
      <c r="C28" s="10" t="s">
        <v>65</v>
      </c>
      <c r="D28" s="10">
        <v>1</v>
      </c>
    </row>
    <row r="29" spans="1:4" x14ac:dyDescent="0.35">
      <c r="A29" s="10" t="s">
        <v>92</v>
      </c>
      <c r="B29" s="10" t="s">
        <v>103</v>
      </c>
      <c r="C29" s="10" t="s">
        <v>66</v>
      </c>
      <c r="D29" s="10">
        <v>1</v>
      </c>
    </row>
    <row r="30" spans="1:4" x14ac:dyDescent="0.35">
      <c r="A30" s="10" t="s">
        <v>92</v>
      </c>
      <c r="B30" s="10" t="s">
        <v>104</v>
      </c>
      <c r="C30" s="10" t="s">
        <v>67</v>
      </c>
      <c r="D30" s="10">
        <v>1</v>
      </c>
    </row>
    <row r="31" spans="1:4" x14ac:dyDescent="0.35">
      <c r="A31" s="10" t="s">
        <v>92</v>
      </c>
      <c r="B31" s="10" t="s">
        <v>105</v>
      </c>
      <c r="C31" s="10" t="s">
        <v>68</v>
      </c>
      <c r="D31" s="10">
        <v>1</v>
      </c>
    </row>
    <row r="32" spans="1:4" x14ac:dyDescent="0.35">
      <c r="A32" s="10" t="s">
        <v>92</v>
      </c>
      <c r="B32" s="10" t="s">
        <v>106</v>
      </c>
      <c r="C32" s="10" t="s">
        <v>69</v>
      </c>
      <c r="D32" s="10">
        <v>1</v>
      </c>
    </row>
    <row r="33" spans="1:4" x14ac:dyDescent="0.35">
      <c r="A33" s="10" t="s">
        <v>92</v>
      </c>
      <c r="B33" s="10" t="s">
        <v>107</v>
      </c>
      <c r="C33" s="10" t="s">
        <v>70</v>
      </c>
      <c r="D33" s="10">
        <v>1</v>
      </c>
    </row>
    <row r="34" spans="1:4" x14ac:dyDescent="0.35">
      <c r="A34" s="10" t="s">
        <v>92</v>
      </c>
      <c r="B34" s="10" t="s">
        <v>108</v>
      </c>
      <c r="C34" s="10" t="s">
        <v>71</v>
      </c>
      <c r="D34" s="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5D354-C61B-4C03-953F-842C253A942B}">
  <dimension ref="B2:E15"/>
  <sheetViews>
    <sheetView tabSelected="1" workbookViewId="0">
      <selection activeCell="C19" sqref="C19"/>
    </sheetView>
  </sheetViews>
  <sheetFormatPr defaultRowHeight="14.5" x14ac:dyDescent="0.35"/>
  <cols>
    <col min="2" max="2" width="29.36328125" customWidth="1"/>
    <col min="3" max="3" width="23.36328125" bestFit="1" customWidth="1"/>
    <col min="4" max="4" width="18.26953125" bestFit="1" customWidth="1"/>
    <col min="5" max="5" width="19.26953125" bestFit="1" customWidth="1"/>
  </cols>
  <sheetData>
    <row r="2" spans="2:5" x14ac:dyDescent="0.35">
      <c r="B2" s="39" t="s">
        <v>127</v>
      </c>
      <c r="C2" s="39" t="s">
        <v>128</v>
      </c>
      <c r="D2" s="39" t="s">
        <v>129</v>
      </c>
      <c r="E2" s="39" t="s">
        <v>130</v>
      </c>
    </row>
    <row r="3" spans="2:5" x14ac:dyDescent="0.35">
      <c r="B3" s="40" t="s">
        <v>55</v>
      </c>
      <c r="C3" s="40" t="s">
        <v>55</v>
      </c>
      <c r="D3" s="40" t="s">
        <v>131</v>
      </c>
      <c r="E3" s="40" t="s">
        <v>132</v>
      </c>
    </row>
    <row r="4" spans="2:5" x14ac:dyDescent="0.35">
      <c r="B4" s="40" t="s">
        <v>57</v>
      </c>
      <c r="C4" s="40" t="s">
        <v>57</v>
      </c>
      <c r="D4" s="40" t="s">
        <v>131</v>
      </c>
      <c r="E4" s="40" t="s">
        <v>133</v>
      </c>
    </row>
    <row r="5" spans="2:5" x14ac:dyDescent="0.35">
      <c r="B5" s="40" t="s">
        <v>56</v>
      </c>
      <c r="C5" s="40" t="s">
        <v>56</v>
      </c>
      <c r="D5" s="40" t="s">
        <v>131</v>
      </c>
      <c r="E5" s="40" t="s">
        <v>134</v>
      </c>
    </row>
    <row r="6" spans="2:5" x14ac:dyDescent="0.35">
      <c r="B6" s="40" t="s">
        <v>135</v>
      </c>
      <c r="C6" s="10" t="s">
        <v>136</v>
      </c>
      <c r="D6" s="40" t="s">
        <v>137</v>
      </c>
      <c r="E6" s="40" t="s">
        <v>138</v>
      </c>
    </row>
    <row r="7" spans="2:5" x14ac:dyDescent="0.35">
      <c r="B7" s="40" t="s">
        <v>139</v>
      </c>
      <c r="C7" s="10" t="s">
        <v>157</v>
      </c>
      <c r="D7" s="40" t="s">
        <v>140</v>
      </c>
      <c r="E7" s="40" t="s">
        <v>141</v>
      </c>
    </row>
    <row r="8" spans="2:5" x14ac:dyDescent="0.35">
      <c r="B8" s="40" t="s">
        <v>142</v>
      </c>
      <c r="C8" s="10" t="s">
        <v>158</v>
      </c>
      <c r="D8" s="40" t="s">
        <v>143</v>
      </c>
      <c r="E8" s="40" t="s">
        <v>144</v>
      </c>
    </row>
    <row r="9" spans="2:5" x14ac:dyDescent="0.35">
      <c r="B9" s="40" t="s">
        <v>145</v>
      </c>
      <c r="C9" s="10" t="s">
        <v>159</v>
      </c>
      <c r="D9" s="40" t="s">
        <v>143</v>
      </c>
      <c r="E9" s="40" t="s">
        <v>146</v>
      </c>
    </row>
    <row r="10" spans="2:5" x14ac:dyDescent="0.35">
      <c r="B10" s="40" t="s">
        <v>147</v>
      </c>
      <c r="C10" s="10" t="s">
        <v>160</v>
      </c>
      <c r="D10" s="40" t="s">
        <v>143</v>
      </c>
      <c r="E10" s="40" t="s">
        <v>148</v>
      </c>
    </row>
    <row r="11" spans="2:5" x14ac:dyDescent="0.35">
      <c r="B11" s="40" t="s">
        <v>149</v>
      </c>
      <c r="C11" s="10" t="s">
        <v>161</v>
      </c>
      <c r="D11" s="40" t="s">
        <v>143</v>
      </c>
      <c r="E11" s="40" t="s">
        <v>150</v>
      </c>
    </row>
    <row r="12" spans="2:5" x14ac:dyDescent="0.35">
      <c r="B12" s="40" t="s">
        <v>151</v>
      </c>
      <c r="C12" s="10" t="s">
        <v>162</v>
      </c>
      <c r="D12" s="40" t="s">
        <v>140</v>
      </c>
      <c r="E12" s="40" t="s">
        <v>152</v>
      </c>
    </row>
    <row r="13" spans="2:5" x14ac:dyDescent="0.35">
      <c r="B13" s="40" t="s">
        <v>153</v>
      </c>
      <c r="C13" s="10" t="s">
        <v>163</v>
      </c>
      <c r="D13" s="40" t="s">
        <v>140</v>
      </c>
      <c r="E13" s="40" t="s">
        <v>154</v>
      </c>
    </row>
    <row r="14" spans="2:5" x14ac:dyDescent="0.35">
      <c r="B14" s="40" t="s">
        <v>155</v>
      </c>
      <c r="C14" s="10" t="s">
        <v>164</v>
      </c>
      <c r="D14" s="40" t="s">
        <v>140</v>
      </c>
      <c r="E14" s="40" t="s">
        <v>156</v>
      </c>
    </row>
    <row r="15" spans="2:5" x14ac:dyDescent="0.35">
      <c r="B15" s="40" t="s">
        <v>166</v>
      </c>
      <c r="C15" s="10" t="s">
        <v>165</v>
      </c>
      <c r="D15" s="40"/>
      <c r="E15" s="40"/>
    </row>
  </sheetData>
  <phoneticPr fontId="1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787ab7-f295-424f-b8cc-e3116a0f8520}" enabled="0" method="" siteId="{6d787ab7-f295-424f-b8cc-e3116a0f85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 Flow</vt:lpstr>
      <vt:lpstr>UTC OutPut- Stratified sampling</vt:lpstr>
      <vt:lpstr>Strat Data_and_Meta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Thallapally Srujan</dc:creator>
  <cp:lastModifiedBy>Thallapally Srujan</cp:lastModifiedBy>
  <dcterms:created xsi:type="dcterms:W3CDTF">2026-07-08T12:42:22Z</dcterms:created>
  <dcterms:modified xsi:type="dcterms:W3CDTF">2026-07-09T09:45:40Z</dcterms:modified>
</cp:coreProperties>
</file>